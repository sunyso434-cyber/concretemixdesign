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99f48fa40344ce4/Desktop/"/>
    </mc:Choice>
  </mc:AlternateContent>
  <xr:revisionPtr revIDLastSave="0" documentId="8_{474C563E-686D-47C6-BE82-C3651E94256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试配表 (3)" sheetId="5" r:id="rId1"/>
  </sheets>
  <calcPr calcId="181029"/>
</workbook>
</file>

<file path=xl/calcChain.xml><?xml version="1.0" encoding="utf-8"?>
<calcChain xmlns="http://schemas.openxmlformats.org/spreadsheetml/2006/main">
  <c r="D39" i="5" l="1"/>
  <c r="D35" i="5"/>
  <c r="E35" i="5" s="1"/>
  <c r="E33" i="5"/>
  <c r="D32" i="5"/>
  <c r="E30" i="5"/>
  <c r="D29" i="5"/>
  <c r="E29" i="5" s="1"/>
  <c r="E27" i="5"/>
  <c r="D26" i="5"/>
  <c r="E26" i="5" s="1"/>
  <c r="E24" i="5"/>
  <c r="D23" i="5"/>
  <c r="E23" i="5" s="1"/>
  <c r="E21" i="5"/>
  <c r="E20" i="5"/>
  <c r="E19" i="5"/>
  <c r="E18" i="5"/>
  <c r="D17" i="5"/>
  <c r="E17" i="5" s="1"/>
  <c r="B39" i="5"/>
  <c r="D16" i="5" l="1"/>
  <c r="E16" i="5" s="1"/>
  <c r="D40" i="5"/>
  <c r="E32" i="5"/>
  <c r="D37" i="5"/>
  <c r="E37" i="5" s="1"/>
  <c r="D41" i="5" l="1"/>
  <c r="F39" i="5" l="1"/>
  <c r="F35" i="5"/>
  <c r="G35" i="5" s="1"/>
  <c r="G33" i="5"/>
  <c r="F32" i="5"/>
  <c r="G32" i="5" s="1"/>
  <c r="G30" i="5"/>
  <c r="F29" i="5"/>
  <c r="G29" i="5" s="1"/>
  <c r="G27" i="5"/>
  <c r="F26" i="5"/>
  <c r="G26" i="5" s="1"/>
  <c r="G24" i="5"/>
  <c r="F23" i="5"/>
  <c r="G23" i="5" s="1"/>
  <c r="G21" i="5"/>
  <c r="G20" i="5"/>
  <c r="G19" i="5"/>
  <c r="G18" i="5"/>
  <c r="F17" i="5"/>
  <c r="F40" i="5" s="1"/>
  <c r="G17" i="5" l="1"/>
  <c r="F16" i="5"/>
  <c r="G16" i="5" s="1"/>
  <c r="F37" i="5"/>
  <c r="G37" i="5" s="1"/>
  <c r="B35" i="5"/>
  <c r="C35" i="5" s="1"/>
  <c r="C33" i="5"/>
  <c r="B32" i="5"/>
  <c r="C32" i="5" s="1"/>
  <c r="C30" i="5"/>
  <c r="B29" i="5"/>
  <c r="C29" i="5" s="1"/>
  <c r="C27" i="5"/>
  <c r="B26" i="5"/>
  <c r="C26" i="5" s="1"/>
  <c r="C24" i="5"/>
  <c r="B23" i="5"/>
  <c r="C23" i="5" s="1"/>
  <c r="C21" i="5"/>
  <c r="C20" i="5"/>
  <c r="C19" i="5"/>
  <c r="C18" i="5"/>
  <c r="B17" i="5"/>
  <c r="B41" i="5" s="1"/>
  <c r="F41" i="5" l="1"/>
  <c r="B16" i="5"/>
  <c r="C16" i="5" s="1"/>
  <c r="B37" i="5"/>
  <c r="C37" i="5" s="1"/>
  <c r="C17" i="5"/>
  <c r="B40" i="5"/>
</calcChain>
</file>

<file path=xl/sharedStrings.xml><?xml version="1.0" encoding="utf-8"?>
<sst xmlns="http://schemas.openxmlformats.org/spreadsheetml/2006/main" count="109" uniqueCount="93">
  <si>
    <t>(   中心  )试验室试配表</t>
  </si>
  <si>
    <t>试验目的</t>
  </si>
  <si>
    <t>每盘体积</t>
  </si>
  <si>
    <t>L</t>
  </si>
  <si>
    <t>试配时间</t>
  </si>
  <si>
    <t>温度</t>
  </si>
  <si>
    <t>22℃</t>
  </si>
  <si>
    <t>湿度</t>
  </si>
  <si>
    <t>试配编号</t>
  </si>
  <si>
    <t>原材料种类</t>
  </si>
  <si>
    <t>规格</t>
  </si>
  <si>
    <t>生产厂家</t>
  </si>
  <si>
    <t>取样时间</t>
  </si>
  <si>
    <t>取样地点</t>
  </si>
  <si>
    <t>关键指标</t>
  </si>
  <si>
    <t>水泥</t>
  </si>
  <si>
    <t>PO42.5R</t>
  </si>
  <si>
    <t>拉法基</t>
  </si>
  <si>
    <t>西站</t>
  </si>
  <si>
    <t>3d强度</t>
  </si>
  <si>
    <t>28d强度</t>
  </si>
  <si>
    <t>矿粉</t>
  </si>
  <si>
    <t>S95</t>
  </si>
  <si>
    <t>双实建材</t>
  </si>
  <si>
    <t>流动度比</t>
  </si>
  <si>
    <t>28d活性</t>
  </si>
  <si>
    <t>需水量比</t>
  </si>
  <si>
    <t>砂1</t>
  </si>
  <si>
    <t>细砂</t>
  </si>
  <si>
    <t>清砂</t>
  </si>
  <si>
    <t>细度模数</t>
  </si>
  <si>
    <t>含粉量</t>
  </si>
  <si>
    <t>砂2</t>
  </si>
  <si>
    <t>粗砂</t>
  </si>
  <si>
    <t>砂3</t>
  </si>
  <si>
    <t>减水剂</t>
  </si>
  <si>
    <t>SSJS-标准型</t>
  </si>
  <si>
    <t>常青藤</t>
  </si>
  <si>
    <t>试样编号</t>
  </si>
  <si>
    <t>备注</t>
  </si>
  <si>
    <t>项目</t>
  </si>
  <si>
    <t>每方</t>
  </si>
  <si>
    <t>每盘</t>
  </si>
  <si>
    <t>设计用水量</t>
  </si>
  <si>
    <t>实际用水</t>
  </si>
  <si>
    <t>总胶量</t>
  </si>
  <si>
    <t>复合掺合料</t>
  </si>
  <si>
    <t>锂渣粉干重</t>
  </si>
  <si>
    <t>锂渣粉含水</t>
  </si>
  <si>
    <t>锂渣粉湿重</t>
  </si>
  <si>
    <t>砂1干重</t>
  </si>
  <si>
    <t>砂1含水率</t>
  </si>
  <si>
    <t>砂1湿重</t>
  </si>
  <si>
    <t>砂2干重</t>
  </si>
  <si>
    <t>砂2含水率</t>
  </si>
  <si>
    <t>砂2湿重</t>
  </si>
  <si>
    <t>砂3干重</t>
  </si>
  <si>
    <t>砂3含水率</t>
  </si>
  <si>
    <t>砂3湿重</t>
  </si>
  <si>
    <t>碎石干重</t>
  </si>
  <si>
    <t>碎石含水率</t>
  </si>
  <si>
    <t>碎石湿重</t>
  </si>
  <si>
    <t>减水剂掺量</t>
  </si>
  <si>
    <t>减水剂用量</t>
  </si>
  <si>
    <t>减水剂实际掺量、用量</t>
  </si>
  <si>
    <t>砂率</t>
  </si>
  <si>
    <t>水胶比</t>
  </si>
  <si>
    <t>容重</t>
  </si>
  <si>
    <t>初始坍落/扩展度</t>
  </si>
  <si>
    <t>初始坍落度/扩展度</t>
  </si>
  <si>
    <t>目测现象说明</t>
  </si>
  <si>
    <t>强度R7</t>
  </si>
  <si>
    <t>强度R28</t>
  </si>
  <si>
    <t>强度R60</t>
  </si>
  <si>
    <t>20260408</t>
    <phoneticPr fontId="15" type="noConversion"/>
  </si>
  <si>
    <t>复合灰</t>
    <phoneticPr fontId="15" type="noConversion"/>
  </si>
  <si>
    <t>20260408-1</t>
    <phoneticPr fontId="15" type="noConversion"/>
  </si>
  <si>
    <t>20260408-2</t>
    <phoneticPr fontId="15" type="noConversion"/>
  </si>
  <si>
    <t>矿粉</t>
    <phoneticPr fontId="15" type="noConversion"/>
  </si>
  <si>
    <t>20260408-3</t>
    <phoneticPr fontId="15" type="noConversion"/>
  </si>
  <si>
    <t>基准（矿粉＋复合粉）</t>
    <phoneticPr fontId="15" type="noConversion"/>
  </si>
  <si>
    <t>5号仓锂渣</t>
    <phoneticPr fontId="15" type="noConversion"/>
  </si>
  <si>
    <t>1.23号技术部留样锂渣</t>
    <phoneticPr fontId="15" type="noConversion"/>
  </si>
  <si>
    <t>拉法基</t>
    <phoneticPr fontId="15" type="noConversion"/>
  </si>
  <si>
    <t>近期锂渣对混凝土工作性能影响</t>
    <phoneticPr fontId="15" type="noConversion"/>
  </si>
  <si>
    <t>225/595,565</t>
    <phoneticPr fontId="15" type="noConversion"/>
  </si>
  <si>
    <t>215/580,590</t>
    <phoneticPr fontId="15" type="noConversion"/>
  </si>
  <si>
    <t>235/610.650</t>
    <phoneticPr fontId="15" type="noConversion"/>
  </si>
  <si>
    <t>外加剂超掺约0.1%</t>
    <phoneticPr fontId="15" type="noConversion"/>
  </si>
  <si>
    <t>2h坍落度/扩展度</t>
    <phoneticPr fontId="15" type="noConversion"/>
  </si>
  <si>
    <t>无</t>
  </si>
  <si>
    <t>无</t>
    <phoneticPr fontId="15" type="noConversion"/>
  </si>
  <si>
    <t>无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</si>
</sst>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0.00_);[Red]\(0.00\)"/>
    <numFmt numFmtId="178" formatCode="0.000_);[Red]\(0.000\)"/>
    <numFmt numFmtId="179" formatCode="0.0%"/>
    <numFmt numFmtId="180" formatCode="0.0_);[Red]\(0.0\)"/>
  </numFmts>
  <fonts count="1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b/>
      <i/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4" fillId="0" borderId="0">
      <alignment vertical="center"/>
    </xf>
  </cellStyleXfs>
  <cellXfs count="11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177" fontId="4" fillId="3" borderId="2" xfId="2" applyNumberFormat="1" applyFont="1" applyFill="1" applyBorder="1">
      <alignment vertical="center"/>
    </xf>
    <xf numFmtId="177" fontId="4" fillId="3" borderId="3" xfId="2" applyNumberFormat="1" applyFont="1" applyFill="1" applyBorder="1">
      <alignment vertical="center"/>
    </xf>
    <xf numFmtId="177" fontId="4" fillId="3" borderId="1" xfId="2" applyNumberFormat="1" applyFont="1" applyFill="1" applyBorder="1">
      <alignment vertical="center"/>
    </xf>
    <xf numFmtId="0" fontId="3" fillId="3" borderId="4" xfId="2" applyFont="1" applyFill="1" applyBorder="1" applyAlignment="1">
      <alignment horizontal="center" vertical="center"/>
    </xf>
    <xf numFmtId="49" fontId="4" fillId="3" borderId="4" xfId="2" applyNumberFormat="1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3" fillId="3" borderId="5" xfId="2" applyFont="1" applyFill="1" applyBorder="1">
      <alignment vertical="center"/>
    </xf>
    <xf numFmtId="0" fontId="3" fillId="3" borderId="7" xfId="2" applyFont="1" applyFill="1" applyBorder="1">
      <alignment vertical="center"/>
    </xf>
    <xf numFmtId="0" fontId="3" fillId="3" borderId="6" xfId="2" applyFont="1" applyFill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3" fillId="4" borderId="2" xfId="2" applyFont="1" applyFill="1" applyBorder="1" applyAlignment="1">
      <alignment horizontal="center" vertical="center"/>
    </xf>
    <xf numFmtId="0" fontId="3" fillId="4" borderId="3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180" fontId="12" fillId="3" borderId="1" xfId="0" applyNumberFormat="1" applyFont="1" applyFill="1" applyBorder="1" applyAlignment="1">
      <alignment horizontal="center" vertical="center"/>
    </xf>
    <xf numFmtId="176" fontId="3" fillId="3" borderId="4" xfId="2" applyNumberFormat="1" applyFont="1" applyFill="1" applyBorder="1" applyAlignment="1">
      <alignment horizontal="center" vertical="center"/>
    </xf>
    <xf numFmtId="176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79" fontId="0" fillId="0" borderId="0" xfId="1" applyNumberFormat="1" applyFont="1" applyAlignment="1">
      <alignment horizontal="center" vertical="center"/>
    </xf>
    <xf numFmtId="0" fontId="16" fillId="3" borderId="1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14" fontId="4" fillId="3" borderId="1" xfId="2" applyNumberFormat="1" applyFont="1" applyFill="1" applyBorder="1" applyAlignment="1">
      <alignment horizontal="center" vertical="center"/>
    </xf>
    <xf numFmtId="14" fontId="4" fillId="3" borderId="2" xfId="2" applyNumberFormat="1" applyFont="1" applyFill="1" applyBorder="1" applyAlignment="1">
      <alignment horizontal="center" vertical="center"/>
    </xf>
    <xf numFmtId="14" fontId="4" fillId="3" borderId="3" xfId="2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49" fontId="4" fillId="3" borderId="2" xfId="2" applyNumberFormat="1" applyFont="1" applyFill="1" applyBorder="1" applyAlignment="1">
      <alignment horizontal="center" vertical="center"/>
    </xf>
    <xf numFmtId="49" fontId="4" fillId="3" borderId="3" xfId="2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3" fillId="3" borderId="8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/>
    </xf>
    <xf numFmtId="0" fontId="3" fillId="4" borderId="3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3" borderId="3" xfId="2" applyFont="1" applyFill="1" applyBorder="1" applyAlignment="1">
      <alignment vertical="center" wrapText="1"/>
    </xf>
    <xf numFmtId="0" fontId="3" fillId="3" borderId="9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7" fillId="3" borderId="9" xfId="2" applyFont="1" applyFill="1" applyBorder="1" applyAlignment="1">
      <alignment horizontal="center" vertical="center" wrapText="1"/>
    </xf>
    <xf numFmtId="0" fontId="7" fillId="3" borderId="10" xfId="2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49" fontId="8" fillId="0" borderId="2" xfId="2" applyNumberFormat="1" applyFont="1" applyBorder="1" applyAlignment="1">
      <alignment horizontal="center" vertical="center" wrapText="1"/>
    </xf>
    <xf numFmtId="49" fontId="8" fillId="0" borderId="3" xfId="2" applyNumberFormat="1" applyFont="1" applyBorder="1" applyAlignment="1">
      <alignment horizontal="center" vertical="center" wrapText="1"/>
    </xf>
    <xf numFmtId="179" fontId="4" fillId="3" borderId="2" xfId="1" applyNumberFormat="1" applyFont="1" applyFill="1" applyBorder="1" applyAlignment="1">
      <alignment horizontal="center" vertical="center"/>
    </xf>
    <xf numFmtId="179" fontId="4" fillId="3" borderId="3" xfId="1" applyNumberFormat="1" applyFont="1" applyFill="1" applyBorder="1" applyAlignment="1">
      <alignment horizontal="center" vertical="center"/>
    </xf>
    <xf numFmtId="10" fontId="12" fillId="3" borderId="2" xfId="1" applyNumberFormat="1" applyFont="1" applyFill="1" applyBorder="1" applyAlignment="1" applyProtection="1">
      <alignment horizontal="center" vertical="center"/>
    </xf>
    <xf numFmtId="10" fontId="12" fillId="3" borderId="3" xfId="1" applyNumberFormat="1" applyFont="1" applyFill="1" applyBorder="1" applyAlignment="1">
      <alignment horizontal="center" vertical="center"/>
    </xf>
    <xf numFmtId="10" fontId="12" fillId="3" borderId="2" xfId="1" applyNumberFormat="1" applyFont="1" applyFill="1" applyBorder="1" applyAlignment="1">
      <alignment horizontal="center" vertical="center"/>
    </xf>
    <xf numFmtId="177" fontId="4" fillId="3" borderId="2" xfId="1" applyNumberFormat="1" applyFont="1" applyFill="1" applyBorder="1" applyAlignment="1">
      <alignment horizontal="center" vertical="center"/>
    </xf>
    <xf numFmtId="177" fontId="4" fillId="3" borderId="3" xfId="1" applyNumberFormat="1" applyFont="1" applyFill="1" applyBorder="1" applyAlignment="1">
      <alignment horizontal="center" vertical="center"/>
    </xf>
    <xf numFmtId="176" fontId="4" fillId="3" borderId="12" xfId="0" applyNumberFormat="1" applyFont="1" applyFill="1" applyBorder="1" applyAlignment="1">
      <alignment horizontal="center" vertical="center"/>
    </xf>
    <xf numFmtId="176" fontId="4" fillId="3" borderId="13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3" fillId="0" borderId="16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5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58"/>
  <sheetViews>
    <sheetView tabSelected="1" view="pageBreakPreview" zoomScale="115" zoomScaleNormal="100" zoomScaleSheetLayoutView="115" workbookViewId="0">
      <selection activeCell="H12" sqref="H12:M49"/>
    </sheetView>
  </sheetViews>
  <sheetFormatPr defaultColWidth="7.59765625" defaultRowHeight="19.5" customHeight="1" x14ac:dyDescent="0.3"/>
  <cols>
    <col min="1" max="1" width="14.3984375" style="5" customWidth="1"/>
    <col min="2" max="10" width="7.1328125" style="5" customWidth="1"/>
    <col min="11" max="11" width="8.59765625" style="5" customWidth="1"/>
    <col min="12" max="12" width="7.1328125" style="5" customWidth="1"/>
    <col min="13" max="13" width="8.1328125" style="5" customWidth="1"/>
    <col min="14" max="16383" width="7.59765625" style="5"/>
  </cols>
  <sheetData>
    <row r="1" spans="1:13" ht="20.2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15.95" customHeight="1" x14ac:dyDescent="0.3">
      <c r="A2" s="54" t="s">
        <v>1</v>
      </c>
      <c r="B2" s="54"/>
      <c r="C2" s="55" t="s">
        <v>84</v>
      </c>
      <c r="D2" s="55"/>
      <c r="E2" s="55"/>
      <c r="F2" s="55"/>
      <c r="G2" s="55"/>
      <c r="H2" s="55"/>
      <c r="I2" s="56" t="s">
        <v>2</v>
      </c>
      <c r="J2" s="57"/>
      <c r="K2" s="7"/>
      <c r="L2" s="8">
        <v>15</v>
      </c>
      <c r="M2" s="9" t="s">
        <v>3</v>
      </c>
    </row>
    <row r="3" spans="1:13" ht="14.25" customHeight="1" x14ac:dyDescent="0.3">
      <c r="A3" s="10" t="s">
        <v>4</v>
      </c>
      <c r="B3" s="11" t="s">
        <v>74</v>
      </c>
      <c r="C3" s="12" t="s">
        <v>5</v>
      </c>
      <c r="D3" s="58" t="s">
        <v>6</v>
      </c>
      <c r="E3" s="58"/>
      <c r="F3" s="12" t="s">
        <v>7</v>
      </c>
      <c r="G3" s="59"/>
      <c r="H3" s="60"/>
      <c r="I3" s="61" t="s">
        <v>8</v>
      </c>
      <c r="J3" s="62"/>
      <c r="K3" s="13"/>
      <c r="L3" s="14"/>
      <c r="M3" s="15"/>
    </row>
    <row r="4" spans="1:13" ht="14.25" customHeight="1" x14ac:dyDescent="0.3">
      <c r="A4" s="6" t="s">
        <v>9</v>
      </c>
      <c r="B4" s="63" t="s">
        <v>10</v>
      </c>
      <c r="C4" s="64"/>
      <c r="D4" s="65" t="s">
        <v>11</v>
      </c>
      <c r="E4" s="66"/>
      <c r="F4" s="67" t="s">
        <v>12</v>
      </c>
      <c r="G4" s="68"/>
      <c r="H4" s="67" t="s">
        <v>13</v>
      </c>
      <c r="I4" s="68"/>
      <c r="J4" s="69" t="s">
        <v>14</v>
      </c>
      <c r="K4" s="70"/>
      <c r="L4" s="71" t="s">
        <v>14</v>
      </c>
      <c r="M4" s="70"/>
    </row>
    <row r="5" spans="1:13" ht="14.25" customHeight="1" x14ac:dyDescent="0.3">
      <c r="A5" s="6" t="s">
        <v>15</v>
      </c>
      <c r="B5" s="72" t="s">
        <v>16</v>
      </c>
      <c r="C5" s="73"/>
      <c r="D5" s="69" t="s">
        <v>17</v>
      </c>
      <c r="E5" s="70"/>
      <c r="F5" s="74"/>
      <c r="G5" s="75"/>
      <c r="H5" s="76" t="s">
        <v>18</v>
      </c>
      <c r="I5" s="77"/>
      <c r="J5" s="6" t="s">
        <v>19</v>
      </c>
      <c r="K5" s="22"/>
      <c r="L5" s="16" t="s">
        <v>20</v>
      </c>
      <c r="M5" s="23"/>
    </row>
    <row r="6" spans="1:13" ht="14.25" customHeight="1" x14ac:dyDescent="0.3">
      <c r="A6" s="6" t="s">
        <v>21</v>
      </c>
      <c r="B6" s="72" t="s">
        <v>22</v>
      </c>
      <c r="C6" s="73"/>
      <c r="D6" s="69" t="s">
        <v>23</v>
      </c>
      <c r="E6" s="70"/>
      <c r="F6" s="74"/>
      <c r="G6" s="75"/>
      <c r="H6" s="76" t="s">
        <v>18</v>
      </c>
      <c r="I6" s="77"/>
      <c r="J6" s="24" t="s">
        <v>24</v>
      </c>
      <c r="K6" s="22"/>
      <c r="L6" s="17" t="s">
        <v>25</v>
      </c>
      <c r="M6" s="25"/>
    </row>
    <row r="7" spans="1:13" ht="14.25" customHeight="1" x14ac:dyDescent="0.3">
      <c r="A7" s="6" t="s">
        <v>75</v>
      </c>
      <c r="B7" s="72"/>
      <c r="C7" s="73"/>
      <c r="D7" s="69" t="s">
        <v>83</v>
      </c>
      <c r="E7" s="70"/>
      <c r="F7" s="74"/>
      <c r="G7" s="75"/>
      <c r="H7" s="76" t="s">
        <v>18</v>
      </c>
      <c r="I7" s="77"/>
      <c r="J7" s="24" t="s">
        <v>26</v>
      </c>
      <c r="K7" s="22"/>
      <c r="L7" s="17" t="s">
        <v>25</v>
      </c>
      <c r="M7" s="23"/>
    </row>
    <row r="8" spans="1:13" ht="14.25" customHeight="1" x14ac:dyDescent="0.3">
      <c r="A8" s="6" t="s">
        <v>27</v>
      </c>
      <c r="B8" s="72" t="s">
        <v>28</v>
      </c>
      <c r="C8" s="73"/>
      <c r="D8" s="78" t="s">
        <v>29</v>
      </c>
      <c r="E8" s="79"/>
      <c r="F8" s="74"/>
      <c r="G8" s="75"/>
      <c r="H8" s="74"/>
      <c r="I8" s="75"/>
      <c r="J8" s="26" t="s">
        <v>30</v>
      </c>
      <c r="K8" s="27"/>
      <c r="L8" s="16" t="s">
        <v>31</v>
      </c>
      <c r="M8" s="25"/>
    </row>
    <row r="9" spans="1:13" ht="14.25" customHeight="1" x14ac:dyDescent="0.3">
      <c r="A9" s="6" t="s">
        <v>32</v>
      </c>
      <c r="B9" s="72" t="s">
        <v>33</v>
      </c>
      <c r="C9" s="73"/>
      <c r="D9" s="80" t="s">
        <v>17</v>
      </c>
      <c r="E9" s="81"/>
      <c r="F9" s="74"/>
      <c r="G9" s="75"/>
      <c r="H9" s="74"/>
      <c r="I9" s="75"/>
      <c r="J9" s="26" t="s">
        <v>30</v>
      </c>
      <c r="K9" s="27"/>
      <c r="L9" s="16" t="s">
        <v>31</v>
      </c>
      <c r="M9" s="25"/>
    </row>
    <row r="10" spans="1:13" ht="14.25" customHeight="1" x14ac:dyDescent="0.3">
      <c r="A10" s="6" t="s">
        <v>34</v>
      </c>
      <c r="B10" s="72"/>
      <c r="C10" s="82"/>
      <c r="D10" s="83"/>
      <c r="E10" s="84"/>
      <c r="F10" s="18"/>
      <c r="G10" s="19"/>
      <c r="H10" s="20"/>
      <c r="I10" s="21"/>
      <c r="J10" s="26"/>
      <c r="K10" s="27"/>
      <c r="L10" s="16"/>
      <c r="M10" s="25"/>
    </row>
    <row r="11" spans="1:13" ht="14.25" customHeight="1" x14ac:dyDescent="0.3">
      <c r="A11" s="6" t="s">
        <v>35</v>
      </c>
      <c r="B11" s="72" t="s">
        <v>36</v>
      </c>
      <c r="C11" s="73"/>
      <c r="D11" s="69" t="s">
        <v>37</v>
      </c>
      <c r="E11" s="70"/>
      <c r="F11" s="74"/>
      <c r="G11" s="75"/>
      <c r="H11" s="76"/>
      <c r="I11" s="77"/>
      <c r="J11" s="26"/>
      <c r="K11" s="27"/>
      <c r="L11" s="16"/>
      <c r="M11" s="25"/>
    </row>
    <row r="12" spans="1:13" ht="15.95" customHeight="1" x14ac:dyDescent="0.3">
      <c r="A12" s="28" t="s">
        <v>38</v>
      </c>
      <c r="B12" s="85" t="s">
        <v>76</v>
      </c>
      <c r="C12" s="86"/>
      <c r="D12" s="85" t="s">
        <v>77</v>
      </c>
      <c r="E12" s="86"/>
      <c r="F12" s="85" t="s">
        <v>79</v>
      </c>
      <c r="G12" s="86"/>
      <c r="H12" s="85"/>
      <c r="I12" s="86"/>
      <c r="J12" s="85"/>
      <c r="K12" s="86"/>
      <c r="L12" s="85"/>
      <c r="M12" s="86"/>
    </row>
    <row r="13" spans="1:13" ht="23.25" customHeight="1" x14ac:dyDescent="0.3">
      <c r="A13" s="28" t="s">
        <v>39</v>
      </c>
      <c r="B13" s="87" t="s">
        <v>80</v>
      </c>
      <c r="C13" s="88"/>
      <c r="D13" s="89" t="s">
        <v>81</v>
      </c>
      <c r="E13" s="90"/>
      <c r="F13" s="89" t="s">
        <v>82</v>
      </c>
      <c r="G13" s="90"/>
      <c r="H13" s="89"/>
      <c r="I13" s="90"/>
      <c r="J13" s="87"/>
      <c r="K13" s="88"/>
      <c r="L13" s="89"/>
      <c r="M13" s="90"/>
    </row>
    <row r="14" spans="1:13" ht="15.95" customHeight="1" x14ac:dyDescent="0.3">
      <c r="A14" s="29" t="s">
        <v>40</v>
      </c>
      <c r="B14" s="30" t="s">
        <v>41</v>
      </c>
      <c r="C14" s="30" t="s">
        <v>42</v>
      </c>
      <c r="D14" s="30" t="s">
        <v>41</v>
      </c>
      <c r="E14" s="30" t="s">
        <v>42</v>
      </c>
      <c r="F14" s="30" t="s">
        <v>41</v>
      </c>
      <c r="G14" s="30" t="s">
        <v>42</v>
      </c>
      <c r="H14" s="30"/>
      <c r="I14" s="30"/>
      <c r="J14" s="30"/>
      <c r="K14" s="30"/>
      <c r="L14" s="30"/>
      <c r="M14" s="30"/>
    </row>
    <row r="15" spans="1:13" ht="15.95" customHeight="1" x14ac:dyDescent="0.3">
      <c r="A15" s="6" t="s">
        <v>43</v>
      </c>
      <c r="B15" s="31">
        <v>165</v>
      </c>
      <c r="C15" s="32"/>
      <c r="D15" s="31">
        <v>165</v>
      </c>
      <c r="E15" s="32"/>
      <c r="F15" s="31">
        <v>165</v>
      </c>
      <c r="G15" s="32"/>
      <c r="H15" s="31"/>
      <c r="I15" s="32"/>
      <c r="J15" s="31"/>
      <c r="K15" s="32"/>
      <c r="L15" s="31"/>
      <c r="M15" s="32"/>
    </row>
    <row r="16" spans="1:13" s="1" customFormat="1" ht="15.95" customHeight="1" x14ac:dyDescent="0.3">
      <c r="A16" s="33" t="s">
        <v>44</v>
      </c>
      <c r="B16" s="34">
        <f>B15+B24+B27+B33+B30+B21-B23-B32-B26-B29-B35</f>
        <v>160.79999999999995</v>
      </c>
      <c r="C16" s="35">
        <f t="shared" ref="C16:C21" si="0">B16*$L$2/1000</f>
        <v>2.411999999999999</v>
      </c>
      <c r="D16" s="34">
        <f>D15+D24+D27+D33+D30+D21-D23-D32-D26-D29-D35</f>
        <v>128.39999999999986</v>
      </c>
      <c r="E16" s="35">
        <f>D16*'试配表 (3)'!$L$2/1000</f>
        <v>1.9259999999999979</v>
      </c>
      <c r="F16" s="34">
        <f>F15+F24+F27+F33+F30+F21-F23-F32-F26-F29-F35</f>
        <v>131.09999999999991</v>
      </c>
      <c r="G16" s="35">
        <f t="shared" ref="G16:G21" si="1">F16*$L$2/1000</f>
        <v>1.9664999999999986</v>
      </c>
      <c r="H16" s="34"/>
      <c r="I16" s="35"/>
      <c r="J16" s="34"/>
      <c r="K16" s="35"/>
      <c r="L16" s="34"/>
      <c r="M16" s="35"/>
    </row>
    <row r="17" spans="1:13" ht="15.95" customHeight="1" x14ac:dyDescent="0.3">
      <c r="A17" s="6" t="s">
        <v>45</v>
      </c>
      <c r="B17" s="36">
        <f>B18+B19+B20+B21</f>
        <v>320</v>
      </c>
      <c r="C17" s="32">
        <f t="shared" si="0"/>
        <v>4.8</v>
      </c>
      <c r="D17" s="36">
        <f>D18+D19+D20+D21</f>
        <v>356</v>
      </c>
      <c r="E17" s="32">
        <f>D17*'试配表 (3)'!$L$2/1000</f>
        <v>5.34</v>
      </c>
      <c r="F17" s="36">
        <f>F18+F19+F20+F21</f>
        <v>356</v>
      </c>
      <c r="G17" s="32">
        <f t="shared" si="1"/>
        <v>5.34</v>
      </c>
      <c r="H17" s="36"/>
      <c r="I17" s="32"/>
      <c r="J17" s="36"/>
      <c r="K17" s="32"/>
      <c r="L17" s="36"/>
      <c r="M17" s="32"/>
    </row>
    <row r="18" spans="1:13" s="1" customFormat="1" ht="15.95" customHeight="1" x14ac:dyDescent="0.3">
      <c r="A18" s="33" t="s">
        <v>15</v>
      </c>
      <c r="B18" s="37">
        <v>210</v>
      </c>
      <c r="C18" s="38">
        <f t="shared" si="0"/>
        <v>3.15</v>
      </c>
      <c r="D18" s="37">
        <v>206</v>
      </c>
      <c r="E18" s="38">
        <f>D18*'试配表 (3)'!$L$2/1000</f>
        <v>3.09</v>
      </c>
      <c r="F18" s="37">
        <v>206</v>
      </c>
      <c r="G18" s="38">
        <f t="shared" si="1"/>
        <v>3.09</v>
      </c>
      <c r="H18" s="37"/>
      <c r="I18" s="38"/>
      <c r="J18" s="37"/>
      <c r="K18" s="38"/>
      <c r="L18" s="37"/>
      <c r="M18" s="38"/>
    </row>
    <row r="19" spans="1:13" ht="15.95" customHeight="1" x14ac:dyDescent="0.3">
      <c r="A19" s="52" t="s">
        <v>78</v>
      </c>
      <c r="B19" s="36">
        <v>50</v>
      </c>
      <c r="C19" s="32">
        <f t="shared" si="0"/>
        <v>0.75</v>
      </c>
      <c r="D19" s="36">
        <v>0</v>
      </c>
      <c r="E19" s="32">
        <f>D19*'试配表 (3)'!$L$2/1000</f>
        <v>0</v>
      </c>
      <c r="F19" s="36">
        <v>0</v>
      </c>
      <c r="G19" s="32">
        <f t="shared" si="1"/>
        <v>0</v>
      </c>
      <c r="H19" s="36"/>
      <c r="I19" s="32"/>
      <c r="J19" s="36"/>
      <c r="K19" s="32"/>
      <c r="L19" s="36"/>
      <c r="M19" s="32"/>
    </row>
    <row r="20" spans="1:13" s="1" customFormat="1" ht="15.95" customHeight="1" x14ac:dyDescent="0.3">
      <c r="A20" s="33" t="s">
        <v>46</v>
      </c>
      <c r="B20" s="37">
        <v>60</v>
      </c>
      <c r="C20" s="38">
        <f t="shared" si="0"/>
        <v>0.9</v>
      </c>
      <c r="D20" s="37">
        <v>60</v>
      </c>
      <c r="E20" s="38">
        <f>D20*'试配表 (3)'!$L$2/1000</f>
        <v>0.9</v>
      </c>
      <c r="F20" s="37">
        <v>60</v>
      </c>
      <c r="G20" s="38">
        <f t="shared" si="1"/>
        <v>0.9</v>
      </c>
      <c r="H20" s="37"/>
      <c r="I20" s="38"/>
      <c r="J20" s="37"/>
      <c r="K20" s="38"/>
      <c r="L20" s="37"/>
      <c r="M20" s="38"/>
    </row>
    <row r="21" spans="1:13" ht="15.95" customHeight="1" x14ac:dyDescent="0.3">
      <c r="A21" s="6" t="s">
        <v>47</v>
      </c>
      <c r="B21" s="36">
        <v>0</v>
      </c>
      <c r="C21" s="32">
        <f t="shared" si="0"/>
        <v>0</v>
      </c>
      <c r="D21" s="36">
        <v>90</v>
      </c>
      <c r="E21" s="32">
        <f>D21*'试配表 (3)'!$L$2/1000</f>
        <v>1.35</v>
      </c>
      <c r="F21" s="36">
        <v>90</v>
      </c>
      <c r="G21" s="32">
        <f t="shared" si="1"/>
        <v>1.35</v>
      </c>
      <c r="H21" s="36"/>
      <c r="I21" s="32"/>
      <c r="J21" s="36"/>
      <c r="K21" s="32"/>
      <c r="L21" s="36"/>
      <c r="M21" s="32"/>
    </row>
    <row r="22" spans="1:13" ht="15.95" customHeight="1" x14ac:dyDescent="0.3">
      <c r="A22" s="6" t="s">
        <v>48</v>
      </c>
      <c r="B22" s="91">
        <v>0</v>
      </c>
      <c r="C22" s="92"/>
      <c r="D22" s="91">
        <v>0.36</v>
      </c>
      <c r="E22" s="92"/>
      <c r="F22" s="91">
        <v>0.33</v>
      </c>
      <c r="G22" s="92"/>
      <c r="H22" s="91"/>
      <c r="I22" s="92"/>
      <c r="J22" s="91"/>
      <c r="K22" s="92"/>
      <c r="L22" s="91"/>
      <c r="M22" s="92"/>
    </row>
    <row r="23" spans="1:13" s="2" customFormat="1" ht="15.95" customHeight="1" x14ac:dyDescent="0.3">
      <c r="A23" s="39" t="s">
        <v>49</v>
      </c>
      <c r="B23" s="40">
        <f>B21*B22+B21</f>
        <v>0</v>
      </c>
      <c r="C23" s="41">
        <f>B23*$L$2/1000</f>
        <v>0</v>
      </c>
      <c r="D23" s="40">
        <f>D21*D22+D21</f>
        <v>122.4</v>
      </c>
      <c r="E23" s="41">
        <f>D23*'试配表 (3)'!$L$2/1000</f>
        <v>1.8360000000000001</v>
      </c>
      <c r="F23" s="40">
        <f>F21*F22+F21</f>
        <v>119.7</v>
      </c>
      <c r="G23" s="41">
        <f>F23*$L$2/1000</f>
        <v>1.7955000000000001</v>
      </c>
      <c r="H23" s="40"/>
      <c r="I23" s="41"/>
      <c r="J23" s="40"/>
      <c r="K23" s="41"/>
      <c r="L23" s="40"/>
      <c r="M23" s="41"/>
    </row>
    <row r="24" spans="1:13" ht="15.95" customHeight="1" x14ac:dyDescent="0.3">
      <c r="A24" s="6" t="s">
        <v>50</v>
      </c>
      <c r="B24" s="36">
        <v>210</v>
      </c>
      <c r="C24" s="32">
        <f>B24*$L$2/1000</f>
        <v>3.15</v>
      </c>
      <c r="D24" s="36">
        <v>210</v>
      </c>
      <c r="E24" s="32">
        <f>D24*'试配表 (3)'!$L$2/1000</f>
        <v>3.15</v>
      </c>
      <c r="F24" s="36">
        <v>210</v>
      </c>
      <c r="G24" s="32">
        <f>F24*$L$2/1000</f>
        <v>3.15</v>
      </c>
      <c r="H24" s="36"/>
      <c r="I24" s="32"/>
      <c r="J24" s="36"/>
      <c r="K24" s="32"/>
      <c r="L24" s="36"/>
      <c r="M24" s="32"/>
    </row>
    <row r="25" spans="1:13" ht="15.95" customHeight="1" x14ac:dyDescent="0.3">
      <c r="A25" s="6" t="s">
        <v>51</v>
      </c>
      <c r="B25" s="91">
        <v>0.02</v>
      </c>
      <c r="C25" s="92"/>
      <c r="D25" s="91">
        <v>0.02</v>
      </c>
      <c r="E25" s="92"/>
      <c r="F25" s="91">
        <v>0.02</v>
      </c>
      <c r="G25" s="92"/>
      <c r="H25" s="91"/>
      <c r="I25" s="92"/>
      <c r="J25" s="91"/>
      <c r="K25" s="92"/>
      <c r="L25" s="91"/>
      <c r="M25" s="92"/>
    </row>
    <row r="26" spans="1:13" s="1" customFormat="1" ht="14.25" customHeight="1" x14ac:dyDescent="0.3">
      <c r="A26" s="33" t="s">
        <v>52</v>
      </c>
      <c r="B26" s="37">
        <f>B24*B25+B24</f>
        <v>214.2</v>
      </c>
      <c r="C26" s="38">
        <f>B26*$L$2/1000</f>
        <v>3.2130000000000001</v>
      </c>
      <c r="D26" s="37">
        <f>D24*D25+D24</f>
        <v>214.2</v>
      </c>
      <c r="E26" s="38">
        <f>D26*'试配表 (3)'!$L$2/1000</f>
        <v>3.2130000000000001</v>
      </c>
      <c r="F26" s="37">
        <f>F24*F25+F24</f>
        <v>214.2</v>
      </c>
      <c r="G26" s="38">
        <f>F26*$L$2/1000</f>
        <v>3.2130000000000001</v>
      </c>
      <c r="H26" s="37"/>
      <c r="I26" s="38"/>
      <c r="J26" s="37"/>
      <c r="K26" s="38"/>
      <c r="L26" s="37"/>
      <c r="M26" s="38"/>
    </row>
    <row r="27" spans="1:13" ht="14.25" customHeight="1" x14ac:dyDescent="0.3">
      <c r="A27" s="6" t="s">
        <v>53</v>
      </c>
      <c r="B27" s="36">
        <v>630</v>
      </c>
      <c r="C27" s="32">
        <f>B27*$L$2/1000</f>
        <v>9.4499999999999993</v>
      </c>
      <c r="D27" s="36">
        <v>630</v>
      </c>
      <c r="E27" s="32">
        <f>D27*'试配表 (3)'!$L$2/1000</f>
        <v>9.4499999999999993</v>
      </c>
      <c r="F27" s="36">
        <v>630</v>
      </c>
      <c r="G27" s="32">
        <f>F27*$L$2/1000</f>
        <v>9.4499999999999993</v>
      </c>
      <c r="H27" s="36"/>
      <c r="I27" s="32"/>
      <c r="J27" s="36"/>
      <c r="K27" s="32"/>
      <c r="L27" s="36"/>
      <c r="M27" s="32"/>
    </row>
    <row r="28" spans="1:13" ht="15.95" customHeight="1" x14ac:dyDescent="0.3">
      <c r="A28" s="6" t="s">
        <v>54</v>
      </c>
      <c r="B28" s="91">
        <v>0</v>
      </c>
      <c r="C28" s="92"/>
      <c r="D28" s="91">
        <v>0</v>
      </c>
      <c r="E28" s="92"/>
      <c r="F28" s="91">
        <v>0</v>
      </c>
      <c r="G28" s="92"/>
      <c r="H28" s="91"/>
      <c r="I28" s="92"/>
      <c r="J28" s="91"/>
      <c r="K28" s="92"/>
      <c r="L28" s="91"/>
      <c r="M28" s="92"/>
    </row>
    <row r="29" spans="1:13" s="1" customFormat="1" ht="14.25" customHeight="1" x14ac:dyDescent="0.3">
      <c r="A29" s="33" t="s">
        <v>55</v>
      </c>
      <c r="B29" s="37">
        <f>B27*B28+B27</f>
        <v>630</v>
      </c>
      <c r="C29" s="38">
        <f>B29*$L$2/1000</f>
        <v>9.4499999999999993</v>
      </c>
      <c r="D29" s="37">
        <f>D27*D28+D27</f>
        <v>630</v>
      </c>
      <c r="E29" s="38">
        <f>D29*'试配表 (3)'!$L$2/1000</f>
        <v>9.4499999999999993</v>
      </c>
      <c r="F29" s="37">
        <f>F27*F28+F27</f>
        <v>630</v>
      </c>
      <c r="G29" s="38">
        <f>F29*$L$2/1000</f>
        <v>9.4499999999999993</v>
      </c>
      <c r="H29" s="37"/>
      <c r="I29" s="38"/>
      <c r="J29" s="37"/>
      <c r="K29" s="38"/>
      <c r="L29" s="37"/>
      <c r="M29" s="38"/>
    </row>
    <row r="30" spans="1:13" ht="15.75" customHeight="1" x14ac:dyDescent="0.3">
      <c r="A30" s="6" t="s">
        <v>56</v>
      </c>
      <c r="B30" s="36">
        <v>0</v>
      </c>
      <c r="C30" s="32">
        <f>B30*$K$2/1000</f>
        <v>0</v>
      </c>
      <c r="D30" s="36">
        <v>0</v>
      </c>
      <c r="E30" s="32">
        <f>D30*'试配表 (3)'!$K$2/1000</f>
        <v>0</v>
      </c>
      <c r="F30" s="36">
        <v>0</v>
      </c>
      <c r="G30" s="32">
        <f>F30*$K$2/1000</f>
        <v>0</v>
      </c>
      <c r="H30" s="36"/>
      <c r="I30" s="32"/>
      <c r="J30" s="36"/>
      <c r="K30" s="32"/>
      <c r="L30" s="36"/>
      <c r="M30" s="32"/>
    </row>
    <row r="31" spans="1:13" ht="15" customHeight="1" x14ac:dyDescent="0.3">
      <c r="A31" s="6" t="s">
        <v>57</v>
      </c>
      <c r="B31" s="91">
        <v>0</v>
      </c>
      <c r="C31" s="92"/>
      <c r="D31" s="91">
        <v>0</v>
      </c>
      <c r="E31" s="92"/>
      <c r="F31" s="91">
        <v>0</v>
      </c>
      <c r="G31" s="92"/>
      <c r="H31" s="91"/>
      <c r="I31" s="92"/>
      <c r="J31" s="91"/>
      <c r="K31" s="92"/>
      <c r="L31" s="91"/>
      <c r="M31" s="92"/>
    </row>
    <row r="32" spans="1:13" ht="16.5" customHeight="1" x14ac:dyDescent="0.3">
      <c r="A32" s="6" t="s">
        <v>58</v>
      </c>
      <c r="B32" s="36">
        <f>B30*B31+B30</f>
        <v>0</v>
      </c>
      <c r="C32" s="32">
        <f>B32*L2/1000</f>
        <v>0</v>
      </c>
      <c r="D32" s="36">
        <f>D30*D31+D30</f>
        <v>0</v>
      </c>
      <c r="E32" s="32">
        <f>D32*'试配表 (3)'!$K$2/1000</f>
        <v>0</v>
      </c>
      <c r="F32" s="36">
        <f>F30*F31+F30</f>
        <v>0</v>
      </c>
      <c r="G32" s="32">
        <f>F32*$K$2/1000</f>
        <v>0</v>
      </c>
      <c r="H32" s="36"/>
      <c r="I32" s="32"/>
      <c r="J32" s="36"/>
      <c r="K32" s="32"/>
      <c r="L32" s="36"/>
      <c r="M32" s="32"/>
    </row>
    <row r="33" spans="1:13" ht="15.95" customHeight="1" x14ac:dyDescent="0.3">
      <c r="A33" s="6" t="s">
        <v>59</v>
      </c>
      <c r="B33" s="36">
        <v>1040</v>
      </c>
      <c r="C33" s="32">
        <f>B33*$L$2/1000</f>
        <v>15.6</v>
      </c>
      <c r="D33" s="36">
        <v>1040</v>
      </c>
      <c r="E33" s="32">
        <f>D33*'试配表 (3)'!$L$2/1000</f>
        <v>15.6</v>
      </c>
      <c r="F33" s="36">
        <v>1040</v>
      </c>
      <c r="G33" s="32">
        <f>F33*$L$2/1000</f>
        <v>15.6</v>
      </c>
      <c r="H33" s="36"/>
      <c r="I33" s="32"/>
      <c r="J33" s="36"/>
      <c r="K33" s="32"/>
      <c r="L33" s="36"/>
      <c r="M33" s="32"/>
    </row>
    <row r="34" spans="1:13" ht="15.95" customHeight="1" x14ac:dyDescent="0.3">
      <c r="A34" s="6" t="s">
        <v>60</v>
      </c>
      <c r="B34" s="91">
        <v>0</v>
      </c>
      <c r="C34" s="92"/>
      <c r="D34" s="91">
        <v>0</v>
      </c>
      <c r="E34" s="92"/>
      <c r="F34" s="91">
        <v>0</v>
      </c>
      <c r="G34" s="92"/>
      <c r="H34" s="91"/>
      <c r="I34" s="92"/>
      <c r="J34" s="91"/>
      <c r="K34" s="92"/>
      <c r="L34" s="91"/>
      <c r="M34" s="92"/>
    </row>
    <row r="35" spans="1:13" s="1" customFormat="1" ht="15.95" customHeight="1" x14ac:dyDescent="0.3">
      <c r="A35" s="33" t="s">
        <v>61</v>
      </c>
      <c r="B35" s="37">
        <f>B34*B33+B33</f>
        <v>1040</v>
      </c>
      <c r="C35" s="38">
        <f>B35*$L$2/1000</f>
        <v>15.6</v>
      </c>
      <c r="D35" s="37">
        <f>D34*D33+D33</f>
        <v>1040</v>
      </c>
      <c r="E35" s="38">
        <f>D35*'试配表 (3)'!$L$2/1000</f>
        <v>15.6</v>
      </c>
      <c r="F35" s="37">
        <f>F34*F33+F33</f>
        <v>1040</v>
      </c>
      <c r="G35" s="38">
        <f>F35*$L$2/1000</f>
        <v>15.6</v>
      </c>
      <c r="H35" s="37"/>
      <c r="I35" s="38"/>
      <c r="J35" s="37"/>
      <c r="K35" s="38"/>
      <c r="L35" s="37"/>
      <c r="M35" s="38"/>
    </row>
    <row r="36" spans="1:13" ht="15.95" customHeight="1" x14ac:dyDescent="0.3">
      <c r="A36" s="6" t="s">
        <v>62</v>
      </c>
      <c r="B36" s="93">
        <v>1.7999999999999999E-2</v>
      </c>
      <c r="C36" s="94"/>
      <c r="D36" s="95">
        <v>1.7999999999999999E-2</v>
      </c>
      <c r="E36" s="94"/>
      <c r="F36" s="95">
        <v>1.7999999999999999E-2</v>
      </c>
      <c r="G36" s="94"/>
      <c r="H36" s="95"/>
      <c r="I36" s="94"/>
      <c r="J36" s="95"/>
      <c r="K36" s="94"/>
      <c r="L36" s="95"/>
      <c r="M36" s="94"/>
    </row>
    <row r="37" spans="1:13" ht="15" customHeight="1" x14ac:dyDescent="0.3">
      <c r="A37" s="6" t="s">
        <v>63</v>
      </c>
      <c r="B37" s="32">
        <f>B36*B17</f>
        <v>5.76</v>
      </c>
      <c r="C37" s="42">
        <f>B37*$L$2</f>
        <v>86.399999999999991</v>
      </c>
      <c r="D37" s="32">
        <f>D36*D17</f>
        <v>6.4079999999999995</v>
      </c>
      <c r="E37" s="42">
        <f>D37*'试配表 (3)'!$L$2</f>
        <v>96.11999999999999</v>
      </c>
      <c r="F37" s="32">
        <f>F36*F17</f>
        <v>6.4079999999999995</v>
      </c>
      <c r="G37" s="42">
        <f>F37*$L$2</f>
        <v>96.11999999999999</v>
      </c>
      <c r="H37" s="32"/>
      <c r="I37" s="42"/>
      <c r="J37" s="32"/>
      <c r="K37" s="42"/>
      <c r="L37" s="32"/>
      <c r="M37" s="42"/>
    </row>
    <row r="38" spans="1:13" ht="35.1" customHeight="1" x14ac:dyDescent="0.3">
      <c r="A38" s="29" t="s">
        <v>64</v>
      </c>
      <c r="B38" s="43">
        <v>1.6E-2</v>
      </c>
      <c r="C38" s="42"/>
      <c r="D38" s="43">
        <v>2.1000000000000001E-2</v>
      </c>
      <c r="E38" s="44"/>
      <c r="F38" s="43">
        <v>1.95E-2</v>
      </c>
      <c r="G38" s="44"/>
      <c r="H38" s="43"/>
      <c r="I38" s="44"/>
      <c r="J38" s="43"/>
      <c r="K38" s="44"/>
      <c r="L38" s="43"/>
      <c r="M38" s="44"/>
    </row>
    <row r="39" spans="1:13" ht="15.95" customHeight="1" x14ac:dyDescent="0.3">
      <c r="A39" s="6" t="s">
        <v>65</v>
      </c>
      <c r="B39" s="91">
        <f>(B24+B27+B30)/(B24+B27+B30+B33)</f>
        <v>0.44680851063829785</v>
      </c>
      <c r="C39" s="92"/>
      <c r="D39" s="91">
        <f>(D24+D27+D30)/(D24+D27+D30+D33)</f>
        <v>0.44680851063829785</v>
      </c>
      <c r="E39" s="92"/>
      <c r="F39" s="91">
        <f>(F24+F27+F30)/(F24+F27+F30+F33)</f>
        <v>0.44680851063829785</v>
      </c>
      <c r="G39" s="92"/>
      <c r="H39" s="91"/>
      <c r="I39" s="92"/>
      <c r="J39" s="91"/>
      <c r="K39" s="92"/>
      <c r="L39" s="91"/>
      <c r="M39" s="92"/>
    </row>
    <row r="40" spans="1:13" ht="15.95" customHeight="1" x14ac:dyDescent="0.3">
      <c r="A40" s="6" t="s">
        <v>66</v>
      </c>
      <c r="B40" s="96">
        <f>B15/B17</f>
        <v>0.515625</v>
      </c>
      <c r="C40" s="97"/>
      <c r="D40" s="96">
        <f>D15/D17</f>
        <v>0.46348314606741575</v>
      </c>
      <c r="E40" s="97"/>
      <c r="F40" s="96">
        <f>F15/F17</f>
        <v>0.46348314606741575</v>
      </c>
      <c r="G40" s="97"/>
      <c r="H40" s="96"/>
      <c r="I40" s="97"/>
      <c r="J40" s="96"/>
      <c r="K40" s="97"/>
      <c r="L40" s="96"/>
      <c r="M40" s="97"/>
    </row>
    <row r="41" spans="1:13" s="3" customFormat="1" ht="15.95" customHeight="1" thickBot="1" x14ac:dyDescent="0.35">
      <c r="A41" s="45" t="s">
        <v>67</v>
      </c>
      <c r="B41" s="98">
        <f>B15+B17+B24+B27+B33+B30</f>
        <v>2365</v>
      </c>
      <c r="C41" s="99"/>
      <c r="D41" s="98">
        <f>D15+D17+D24+D27+D33+D37</f>
        <v>2407.4079999999999</v>
      </c>
      <c r="E41" s="99"/>
      <c r="F41" s="98">
        <f>F15+F17+F24+F27+F33+F37</f>
        <v>2407.4079999999999</v>
      </c>
      <c r="G41" s="99"/>
      <c r="H41" s="98"/>
      <c r="I41" s="99"/>
      <c r="J41" s="98"/>
      <c r="K41" s="99"/>
      <c r="L41" s="98"/>
      <c r="M41" s="99"/>
    </row>
    <row r="42" spans="1:13" s="4" customFormat="1" ht="16.5" customHeight="1" thickBot="1" x14ac:dyDescent="0.35">
      <c r="A42" s="46" t="s">
        <v>68</v>
      </c>
      <c r="B42" s="100" t="s">
        <v>85</v>
      </c>
      <c r="C42" s="101"/>
      <c r="D42" s="100" t="s">
        <v>86</v>
      </c>
      <c r="E42" s="101"/>
      <c r="F42" s="100" t="s">
        <v>87</v>
      </c>
      <c r="G42" s="101"/>
      <c r="H42" s="100"/>
      <c r="I42" s="101"/>
      <c r="J42" s="100"/>
      <c r="K42" s="101"/>
      <c r="L42" s="102"/>
      <c r="M42" s="103"/>
    </row>
    <row r="43" spans="1:13" s="4" customFormat="1" ht="7.5" hidden="1" customHeight="1" x14ac:dyDescent="0.3">
      <c r="A43" s="46" t="s">
        <v>69</v>
      </c>
      <c r="B43" s="100"/>
      <c r="C43" s="101"/>
      <c r="D43" s="100"/>
      <c r="E43" s="101"/>
      <c r="F43" s="100"/>
      <c r="G43" s="101"/>
      <c r="H43" s="104"/>
      <c r="I43" s="104"/>
      <c r="J43" s="104"/>
      <c r="K43" s="104"/>
      <c r="L43" s="104"/>
      <c r="M43" s="104"/>
    </row>
    <row r="44" spans="1:13" s="4" customFormat="1" ht="11.25" hidden="1" customHeight="1" x14ac:dyDescent="0.3">
      <c r="A44" s="47" t="s">
        <v>70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</row>
    <row r="45" spans="1:13" s="4" customFormat="1" ht="17.25" customHeight="1" x14ac:dyDescent="0.3">
      <c r="A45" s="47" t="s">
        <v>89</v>
      </c>
      <c r="B45" s="100" t="s">
        <v>91</v>
      </c>
      <c r="C45" s="101" t="s">
        <v>91</v>
      </c>
      <c r="D45" s="100" t="s">
        <v>91</v>
      </c>
      <c r="E45" s="101" t="s">
        <v>90</v>
      </c>
      <c r="F45" s="100" t="s">
        <v>92</v>
      </c>
      <c r="G45" s="101" t="s">
        <v>90</v>
      </c>
      <c r="H45" s="100"/>
      <c r="I45" s="101"/>
      <c r="J45" s="100"/>
      <c r="K45" s="101"/>
      <c r="L45" s="100"/>
      <c r="M45" s="101"/>
    </row>
    <row r="46" spans="1:13" ht="15.95" customHeight="1" x14ac:dyDescent="0.3">
      <c r="A46" s="48" t="s">
        <v>71</v>
      </c>
      <c r="B46" s="109"/>
      <c r="C46" s="109"/>
      <c r="D46" s="109"/>
      <c r="E46" s="109"/>
      <c r="F46" s="109"/>
      <c r="G46" s="109"/>
      <c r="H46" s="110"/>
      <c r="I46" s="111"/>
      <c r="J46" s="110"/>
      <c r="K46" s="111"/>
      <c r="L46" s="112"/>
      <c r="M46" s="112"/>
    </row>
    <row r="47" spans="1:13" ht="15.95" customHeight="1" x14ac:dyDescent="0.3">
      <c r="A47" s="48" t="s">
        <v>72</v>
      </c>
      <c r="B47" s="109"/>
      <c r="C47" s="109"/>
      <c r="D47" s="109"/>
      <c r="E47" s="109"/>
      <c r="F47" s="109"/>
      <c r="G47" s="109"/>
      <c r="H47" s="110"/>
      <c r="I47" s="111"/>
      <c r="J47" s="110"/>
      <c r="K47" s="111"/>
      <c r="L47" s="112"/>
      <c r="M47" s="112"/>
    </row>
    <row r="48" spans="1:13" ht="15.95" customHeight="1" thickBot="1" x14ac:dyDescent="0.35">
      <c r="A48" s="49" t="s">
        <v>73</v>
      </c>
      <c r="B48" s="105"/>
      <c r="C48" s="105"/>
      <c r="D48" s="105"/>
      <c r="E48" s="105"/>
      <c r="F48" s="105"/>
      <c r="G48" s="105"/>
      <c r="H48" s="106"/>
      <c r="I48" s="107"/>
      <c r="J48" s="106"/>
      <c r="K48" s="107"/>
      <c r="L48" s="108"/>
      <c r="M48" s="108"/>
    </row>
    <row r="49" spans="1:13" ht="23.25" customHeight="1" x14ac:dyDescent="0.3">
      <c r="A49" s="28" t="s">
        <v>39</v>
      </c>
      <c r="B49" s="87"/>
      <c r="C49" s="88"/>
      <c r="D49" s="89"/>
      <c r="E49" s="90"/>
      <c r="F49" s="89" t="s">
        <v>88</v>
      </c>
      <c r="G49" s="90"/>
      <c r="H49" s="89"/>
      <c r="I49" s="90"/>
      <c r="J49" s="87"/>
      <c r="K49" s="88"/>
      <c r="L49" s="89"/>
      <c r="M49" s="90"/>
    </row>
    <row r="55" spans="1:13" ht="19.5" customHeight="1" x14ac:dyDescent="0.3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8" spans="1:13" ht="19.5" customHeight="1" x14ac:dyDescent="0.3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</row>
  </sheetData>
  <mergeCells count="153">
    <mergeCell ref="B45:C45"/>
    <mergeCell ref="D45:E45"/>
    <mergeCell ref="F45:G45"/>
    <mergeCell ref="H45:I45"/>
    <mergeCell ref="J45:K45"/>
    <mergeCell ref="L45:M45"/>
    <mergeCell ref="B49:C49"/>
    <mergeCell ref="D49:E49"/>
    <mergeCell ref="F49:G49"/>
    <mergeCell ref="H49:I49"/>
    <mergeCell ref="J49:K49"/>
    <mergeCell ref="L49:M49"/>
    <mergeCell ref="B44:C44"/>
    <mergeCell ref="D44:E44"/>
    <mergeCell ref="F44:G44"/>
    <mergeCell ref="H44:I44"/>
    <mergeCell ref="J44:K44"/>
    <mergeCell ref="L44:M44"/>
    <mergeCell ref="B48:C48"/>
    <mergeCell ref="D48:E48"/>
    <mergeCell ref="F48:G48"/>
    <mergeCell ref="H48:I48"/>
    <mergeCell ref="J48:K48"/>
    <mergeCell ref="L48:M48"/>
    <mergeCell ref="B46:C46"/>
    <mergeCell ref="D46:E46"/>
    <mergeCell ref="F46:G46"/>
    <mergeCell ref="H46:I46"/>
    <mergeCell ref="J46:K46"/>
    <mergeCell ref="L46:M46"/>
    <mergeCell ref="B47:C47"/>
    <mergeCell ref="D47:E47"/>
    <mergeCell ref="F47:G47"/>
    <mergeCell ref="H47:I47"/>
    <mergeCell ref="J47:K47"/>
    <mergeCell ref="L47:M47"/>
    <mergeCell ref="B42:C42"/>
    <mergeCell ref="D42:E42"/>
    <mergeCell ref="F42:G42"/>
    <mergeCell ref="H42:I42"/>
    <mergeCell ref="J42:K42"/>
    <mergeCell ref="L42:M42"/>
    <mergeCell ref="B43:C43"/>
    <mergeCell ref="D43:E43"/>
    <mergeCell ref="F43:G43"/>
    <mergeCell ref="H43:I43"/>
    <mergeCell ref="J43:K43"/>
    <mergeCell ref="L43:M43"/>
    <mergeCell ref="B40:C40"/>
    <mergeCell ref="F40:G40"/>
    <mergeCell ref="H40:I40"/>
    <mergeCell ref="J40:K40"/>
    <mergeCell ref="L40:M40"/>
    <mergeCell ref="B41:C41"/>
    <mergeCell ref="F41:G41"/>
    <mergeCell ref="H41:I41"/>
    <mergeCell ref="J41:K41"/>
    <mergeCell ref="L41:M41"/>
    <mergeCell ref="D40:E40"/>
    <mergeCell ref="D41:E41"/>
    <mergeCell ref="B36:C36"/>
    <mergeCell ref="F36:G36"/>
    <mergeCell ref="H36:I36"/>
    <mergeCell ref="J36:K36"/>
    <mergeCell ref="L36:M36"/>
    <mergeCell ref="B39:C39"/>
    <mergeCell ref="F39:G39"/>
    <mergeCell ref="H39:I39"/>
    <mergeCell ref="J39:K39"/>
    <mergeCell ref="L39:M39"/>
    <mergeCell ref="D36:E36"/>
    <mergeCell ref="D39:E39"/>
    <mergeCell ref="B31:C31"/>
    <mergeCell ref="F31:G31"/>
    <mergeCell ref="H31:I31"/>
    <mergeCell ref="J31:K31"/>
    <mergeCell ref="L31:M31"/>
    <mergeCell ref="B34:C34"/>
    <mergeCell ref="F34:G34"/>
    <mergeCell ref="H34:I34"/>
    <mergeCell ref="J34:K34"/>
    <mergeCell ref="L34:M34"/>
    <mergeCell ref="D31:E31"/>
    <mergeCell ref="D34:E34"/>
    <mergeCell ref="B25:C25"/>
    <mergeCell ref="F25:G25"/>
    <mergeCell ref="H25:I25"/>
    <mergeCell ref="J25:K25"/>
    <mergeCell ref="L25:M25"/>
    <mergeCell ref="B28:C28"/>
    <mergeCell ref="F28:G28"/>
    <mergeCell ref="H28:I28"/>
    <mergeCell ref="J28:K28"/>
    <mergeCell ref="L28:M28"/>
    <mergeCell ref="D25:E25"/>
    <mergeCell ref="D28:E28"/>
    <mergeCell ref="L12:M12"/>
    <mergeCell ref="B13:C13"/>
    <mergeCell ref="D13:E13"/>
    <mergeCell ref="F13:G13"/>
    <mergeCell ref="H13:I13"/>
    <mergeCell ref="J13:K13"/>
    <mergeCell ref="L13:M13"/>
    <mergeCell ref="B22:C22"/>
    <mergeCell ref="F22:G22"/>
    <mergeCell ref="H22:I22"/>
    <mergeCell ref="J22:K22"/>
    <mergeCell ref="L22:M22"/>
    <mergeCell ref="D22:E22"/>
    <mergeCell ref="B11:C11"/>
    <mergeCell ref="D11:E11"/>
    <mergeCell ref="F11:G11"/>
    <mergeCell ref="H11:I11"/>
    <mergeCell ref="B12:C12"/>
    <mergeCell ref="D12:E12"/>
    <mergeCell ref="F12:G12"/>
    <mergeCell ref="H12:I12"/>
    <mergeCell ref="J12:K12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A1:M1"/>
    <mergeCell ref="A2:B2"/>
    <mergeCell ref="C2:H2"/>
    <mergeCell ref="I2:J2"/>
    <mergeCell ref="D3:E3"/>
    <mergeCell ref="G3:H3"/>
    <mergeCell ref="I3:J3"/>
    <mergeCell ref="B4:C4"/>
    <mergeCell ref="D4:E4"/>
    <mergeCell ref="F4:G4"/>
    <mergeCell ref="H4:I4"/>
    <mergeCell ref="J4:K4"/>
    <mergeCell ref="L4:M4"/>
  </mergeCells>
  <phoneticPr fontId="15" type="noConversion"/>
  <printOptions horizontalCentered="1" verticalCentered="1"/>
  <pageMargins left="0.23622047244094499" right="0.31" top="0.74803149606299202" bottom="0.74803149606299202" header="0.31496062992126" footer="0.31496062992126"/>
  <pageSetup paperSize="9" scale="95" orientation="portrait" r:id="rId1"/>
  <headerFooter>
    <oddHeader>&amp;L&amp;A&amp;C&amp;B 机密 &amp;B&amp;R 第 &amp;P 页</oddHeader>
    <oddFooter>&amp;L&amp;"-,加粗"   制表：&amp;C&amp;"-,加粗"试验：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试配表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孙远松</dc:creator>
  <cp:lastModifiedBy>远松 孙</cp:lastModifiedBy>
  <cp:lastPrinted>2026-04-08T01:32:45Z</cp:lastPrinted>
  <dcterms:created xsi:type="dcterms:W3CDTF">2006-09-13T11:21:00Z</dcterms:created>
  <dcterms:modified xsi:type="dcterms:W3CDTF">2026-04-24T08:06:25Z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9CECE76893C840008081CB87C2666B69_13</vt:lpwstr>
  </property>
  <property fmtid="{D5CDD505-2E9C-101B-9397-08002B2CF9AE}" pid="4" name="CalculationRule">
    <vt:i4>0</vt:i4>
  </property>
</Properties>
</file>