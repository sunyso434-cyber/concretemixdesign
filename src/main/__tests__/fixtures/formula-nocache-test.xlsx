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项目</v>
      </c>
      <c r="B1" t="str">
        <v>数值</v>
      </c>
      <c r="C1" t="str">
        <v>公式结果</v>
      </c>
      <c r="D1" t="str">
        <v>说明</v>
      </c>
    </row>
    <row r="2">
      <c r="A2" t="str">
        <v>水泥</v>
      </c>
      <c r="B2">
        <v>320</v>
      </c>
      <c r="D2" t="str">
        <v>320 kg/m³</v>
      </c>
    </row>
    <row r="3">
      <c r="A3" t="str">
        <v>砂</v>
      </c>
      <c r="B3">
        <v>780</v>
      </c>
      <c r="D3" t="str">
        <v>780 kg/m³</v>
      </c>
    </row>
    <row r="4">
      <c r="A4" t="str">
        <v>石子</v>
      </c>
      <c r="B4">
        <v>1050</v>
      </c>
      <c r="D4" t="str">
        <v>1050 kg/m³</v>
      </c>
    </row>
    <row r="5">
      <c r="A5" t="str">
        <v>水</v>
      </c>
      <c r="B5">
        <v>175</v>
      </c>
      <c r="D5" t="str">
        <v>175 kg/m³</v>
      </c>
    </row>
    <row r="6">
      <c r="A6" t="str">
        <v>合计</v>
      </c>
      <c r="C6">
        <f>SUM(B2:B5)</f>
      </c>
      <c r="D6" t="str">
        <v>公式求和</v>
      </c>
    </row>
    <row r="7">
      <c r="A7" t="str">
        <v>平均</v>
      </c>
      <c r="C7">
        <f>AVERAGE(B2:B5)</f>
      </c>
      <c r="D7" t="str">
        <v>公式平均</v>
      </c>
    </row>
    <row r="8">
      <c r="A8" t="str">
        <v>水胶比</v>
      </c>
      <c r="C8">
        <f>B5/B2</f>
      </c>
      <c r="D8" t="str">
        <v>公式除法</v>
      </c>
    </row>
    <row r="9">
      <c r="A9" t="str">
        <v>判断</v>
      </c>
      <c r="C9">
        <f>IF(B8&gt;0.5,"偏高","正常")</f>
      </c>
      <c r="D9" t="str">
        <v>条件判断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